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08" activeTab="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<sst xmlns="http://schemas.openxmlformats.org/spreadsheetml/2006/main" count="299" uniqueCount="220">
  <si>
    <t>AI AUDIT LOG - METADATA &amp; SUMMARY</t>
  </si>
  <si>
    <t>STUDENT INFORMATION</t>
  </si>
  <si>
    <t>Student Name:</t>
  </si>
  <si>
    <t>Trần Văn Phúc</t>
  </si>
  <si>
    <t>Student ID:</t>
  </si>
  <si>
    <t>QE200141</t>
  </si>
  <si>
    <t>Course:</t>
  </si>
  <si>
    <t>LAB211</t>
  </si>
  <si>
    <t>Assignment:</t>
  </si>
  <si>
    <t>E-Commerce Flash Sale Simulation Console App</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</si>
  <si>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</si>
  <si>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</si>
  <si>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</si>
  <si>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</si>
  <si>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</si>
  <si>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</si>
  <si>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</si>
  <si>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</si>
  <si>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</si>
  <si>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</si>
  <si>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</si>
  <si>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</si>
  <si>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</si>
  <si>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</si>
  <si>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</si>
  <si>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</si>
  <si>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</si>
  <si>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</si>
  <si>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</si>
  <si>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</si>
  <si>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</si>
  <si>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</si>
  <si>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</si>
  <si>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</si>
  <si>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</si>
  <si>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</si>
  <si>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</si>
  <si>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</si>
  <si>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</si>
  <si>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</si>
  <si>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</si>
  <si>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</si>
  <si>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</si>
  <si>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</si>
  <si>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</si>
  <si>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</si>
  <si>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</si>
  <si>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</si>
  <si>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</si>
  <si>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</si>
  <si>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</si>
  <si>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</si>
  <si>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</si>
  <si>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</si>
  <si>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</si>
  <si>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thiết kế cấu trúc lớp lưu trữ kết quả chạy Simulator đo đạc hiệu năng.</t>
  </si>
  <si>
    <t>Tôi muốn tạo một class SimulationResult để chứa các chỉ số đo đạc hiệu năng simulator. Hãy thiết kế các thuộc tính cần thiết.</t>
  </si>
  <si>
    <t>AI gợi ý lớp SimulationResult gồm: lockType, totalThreads, initialStock, successCount, failedCount, durationMs, tps, isConsistent.</t>
  </si>
  <si>
    <t>Critical Thinking: AI liệt kê đầy đủ các trường đo đạc cần thiết.
Contextualization: AI thiếu trường số lần retry của khóa lạc quan và số lượng tồn kho bị âm nếu có.
Creative Synthesis: Tôi bổ sung trường retryCount và negativeStock để phục vụ báo cáo.
Decision: Thiết kế cấu trúc lưu trữ mở rộng để so sánh chính xác.</t>
  </si>
  <si>
    <t>File SimulationResult.java</t>
  </si>
  <si>
    <t>002</t>
  </si>
  <si>
    <t>Phân chia luồng xử lý và I/O của Simulator để tránh tắc nghẽn khi ghi log giao dịch.</t>
  </si>
  <si>
    <t>Làm thế nào để Simulator ghi nhận lịch sử giao dịch (transactions) của hàng trăm thread mà không làm ảnh hưởng đến thời gian chạy đo TPS?</t>
  </si>
  <si>
    <t>AI khuyên ghi trực tiếp từng giao dịch xuống file CSV trong runSimulation bằng cách mở file luân phiên.</t>
  </si>
  <si>
    <t>Critical Thinking: Sai lầm nghiêm trọng! Ghi đĩa tuần tự bên trong thread giả lập sẽ phá hủy chỉ số TPS thực tế.
Contextualization: Ghi đĩa rất chậm so với RAM.
Creative Synthesis: Sử dụng cấu trúc ConcurrentLinkedQueue để lưu tạm transactions trong RAM, sau khi toàn bộ simulation kết thúc mới ghi bulk xuống file.
Decision: Tách biệt hoàn toàn luồng chạy simulation và luồng ghi file I/O.</t>
  </si>
  <si>
    <t>SimulatorService.java: L188</t>
  </si>
  <si>
    <t>003</t>
  </si>
  <si>
    <t>Nhận diện mô hình phân bổ tier thành viên (Standard, Silver, Gold, Diamond) để gán cho các luồng giả lập.</t>
  </si>
  <si>
    <t>Tôi muốn các thread giả lập có thứ hạng thành viên ngẫu nhiên với tỉ lệ: 60% Standard, 20% Silver, 15% Gold, 5% Diamond. Viết code Java tối ưu.</t>
  </si>
  <si>
    <t>AI gợi ý thuật toán dựa trên mảng xác suất tích lũy (Cumulative Probability) và chọn ngẫu nhiên bằng Math.random().</t>
  </si>
  <si>
    <t>Critical Thinking: Thuật toán Cumulative Probability là tối ưu nhất cho bài toán phân bổ phân khúc.
Contextualization: Chạy đa luồng nên dùng ThreadLocalRandom.current() thay vì Math.random() để tránh nghẽn luồng sinh số ngẫu nhiên.
Creative Synthesis: Chuyển đổi sang ThreadLocalRandom và bọc trong hàm selectTier.
Decision: Sử dụng Cumulative Probability kết hợp ThreadLocalRandom.</t>
  </si>
  <si>
    <t>SimulatorService.java: L193-203</t>
  </si>
  <si>
    <t>004</t>
  </si>
  <si>
    <t>Nhận diện hành vi đặt hàng theo tier: Diamond được mua tối đa 3 sản phẩm, Silver/Gold mua 2, Standard mua 1.</t>
  </si>
  <si>
    <t>Hãy viết logic phân bổ số lượng mua ngẫu nhiên cho thread dựa trên hạng VIP/Premium trong Simulator.</t>
  </si>
  <si>
    <t>AI gợi ý dùng cấu trúc switch-case để gán số lượng cứng hoặc ngẫu nhiên cho từng hạng thành viên.</t>
  </si>
  <si>
    <t>Critical Thinking: Hợp lý, giúp phản ánh đúng ràng buộc nghiệp vụ mua hàng của sàn e-commerce.
Contextualization: Logic này phải chạy độc lập cho từng thread giả lập.
Creative Synthesis: Cài đặt switch-case với ThreadLocalRandom.current().nextInt cho DIAMOND (1-3) và GOLD/SILVER (1-2).
Decision: Áp dụng switch-case để phân bổ số lượng mua động theo hạng.</t>
  </si>
  <si>
    <t>SimulatorService.java: L80-92</t>
  </si>
  <si>
    <t>005</t>
  </si>
  <si>
    <t>Áp dụng phân bổ mã voucher ngẫu nhiên cho 25% các đơn đặt hàng giả lập để tăng tính thực tế.</t>
  </si>
  <si>
    <t>Làm thế nào để áp dụng ngẫu nhiên voucher cho khoảng 25% số lượng luồng giả lập chạy đồng thời?</t>
  </si>
  <si>
    <t>AI khuyên sinh một số ngẫu nhiên từ 0.0 đến 1.0, nếu số đó nhỏ hơn 0.25 thì áp dụng voucher.</t>
  </si>
  <si>
    <t>Critical Thinking: Đây là pattern phân bổ xác suất đơn giản và hiệu quả.
Contextualization: Cần lưu trạng thái boolean appliedVoucher vào log giao dịch để verify sau này.
Creative Synthesis: Tích hợp logic sinh ngẫu nhiên boolean và truyền vào log.
Decision: Áp dụng pattern phân bổ voucher ngẫu nhiên mức luồng.</t>
  </si>
  <si>
    <t>SimulatorService.java: L101</t>
  </si>
  <si>
    <t>006</t>
  </si>
  <si>
    <t>Trừu tượng hóa các cơ chế đồng bộ hóa dưới dạng Enum để Simulator gọi động.</t>
  </si>
  <si>
    <t>Làm thế nào để SimulatorService có thể chuyển đổi linh hoạt giữa các cơ chế khóa NO_LOCK, FILE_LOCK, SYNCHRONIZED, OPTIMISTIC_LOCK?</t>
  </si>
  <si>
    <t>AI khuyên dùng cấu trúc switch-case nhận vào tham số kiểu String để điều phối.</t>
  </si>
  <si>
    <t>Critical Thinking: Dùng String dễ lỗi chính tả (typo) khi viết code gọi hàm.
Contextualization: Cần cấu trúc an toàn kiểu dữ liệu (type-safe) của Java.
Creative Synthesis: Định nghĩa một Enum LockType và dùng switch(lockType) trong SimulatorService.
Decision: Trừu tượng hóa cơ chế khóa bằng Enum LockType.</t>
  </si>
  <si>
    <t>LockType.java &amp; SimulatorService.java: L104-117</t>
  </si>
  <si>
    <t>007</t>
  </si>
  <si>
    <t>Thiết kế cấu trúc BaseEntity trừu tượng chứa các trường metadata dùng chung cho mọi thực thể.</t>
  </si>
  <si>
    <t>Hãy thiết kế lớp BaseEntity để các lớp con như Product, Customer, FlashItem, Order kế thừa.</t>
  </si>
  <si>
    <t>AI gợi ý tạo abstract class BaseEntity chứa id, createdAt, updatedAt và version.</t>
  </si>
  <si>
    <t>Critical Thinking: Thiết kế thừa kế chuẩn OOP, giúp áp dụng đa hình cho tầng Repository.
Contextualization: Trường version cực kỳ quan trọng đối với Optimistic Lock.
Creative Synthesis: Giữ nguyên gợi ý và áp dụng extends BaseEntity cho toàn bộ thực thể.
Decision: Thừa kế BaseEntity để chuẩn hóa dữ liệu thực thể.</t>
  </si>
  <si>
    <t>BaseEntity.java</t>
  </si>
  <si>
    <t>008</t>
  </si>
  <si>
    <t>Thiết kế lớp giao dịch OrderTransaction phục vụ ghi nhật ký chạy Simulator.</t>
  </si>
  <si>
    <t>Tôi muốn lưu vết chi tiết kết quả mua hàng của từng thread giả lập để ghi vào file transactions.csv. Hãy thiết kế class OrderTransaction.</t>
  </si>
  <si>
    <t>AI gợi ý lớp OrderTransaction chứa transactionId, orderId, customerId, itemId, quantity, status, message, timestamp.</t>
  </si>
  <si>
    <t>Critical Thinking: Cấu trúc tốt, ghi nhận đầy đủ chi tiết kỹ thuật của giao dịch mô phỏng.
Contextualization: File transactions.csv sẽ được đọc lên để vẽ biểu đồ và phân tích.
Creative Synthesis: Triển khai lớp và bổ sung ghi chú chi tiết tier thành viên vào trường message.
Decision: Sử dụng cấu trúc OrderTransaction chuẩn hóa.</t>
  </si>
  <si>
    <t>OrderTransaction.java</t>
  </si>
  <si>
    <t>009</t>
  </si>
  <si>
    <t>PROBLEM-SOLVING</t>
  </si>
  <si>
    <t>Thiết lập SimulatorService chạy đồng thời thực sự bằng CountDownLatch.</t>
  </si>
  <si>
    <t>Làm sao để đảm bảo các thread trong Simulator bắt đầu chạy cùng một thời điểm micro-giây?</t>
  </si>
  <si>
    <t>AI gợi ý sử dụng vòng lặp khởi chạy thông thường.</t>
  </si>
  <si>
    <t>Critical Thinking: LỖI LOGIC (Oversimplification) - Đã phát hiện và sửa đổi (Xem Tình huống 1 ở file MD).
Contextualization: Đòi hỏi race condition đồng thời thực sự.
Creative Synthesis: Sử dụng readyLatch và startLatch. Luồng phụ sẵn sàng thì readyLatch.countDown(). Luồng chính gọi startLatch.countDown() để kích nổ.
Decision: Cài đặt rào chắn CountDownLatch.</t>
  </si>
  <si>
    <t>SimulatorService.java: L61-63, L156-158</t>
  </si>
  <si>
    <t>010</t>
  </si>
  <si>
    <t>Khắc phục lỗi nghẽn luồng (deadlock) hoặc chậm tiến trình khi chạy Simulator với số thread quá lớn.</t>
  </si>
  <si>
    <t>Khi tôi chạy Simulator với 1000 threads, chương trình bị đứng im hoặc treo máy. Làm thế nào để khắc phục?</t>
  </si>
  <si>
    <t>AI khuyên tăng dung lượng bộ nhớ JVM (-Xmx) hoặc chạy ít thread đi.</t>
  </si>
  <si>
    <t>Critical Thinking: AI bỏ qua việc cấu hình Thread Pool của ExecutorService. Khởi tạo 1000 thread vật lý cùng lúc sẽ làm sập CPU.
Contextualization: Tài nguyên máy tính có hạn.
Creative Synthesis: Giới hạn số lượng luồng thực thi tối đa (pool size) ở mức 4000 bằng Executors.newFixedThreadPool(poolSize).
Decision: Điều chỉnh pool size thông minh dựa trên số lượng luồng yêu cầu.</t>
  </si>
  <si>
    <t>SimulatorService.java: L65-66</t>
  </si>
  <si>
    <t>011</t>
  </si>
  <si>
    <t>VERIFICATION</t>
  </si>
  <si>
    <t>Lỗi âm kho khi cài đặt Khóa lạc quan (Optimistic Lock) in-memory.</t>
  </si>
  <si>
    <t>Hãy viết code trừ kho bằng Khóa lạc quan dựa trên version cho đối tượng FlashItem.</t>
  </si>
  <si>
    <t>AI gợi ý so sánh version và cập nhật dữ liệu trực tiếp trong bộ nhớ (không có cơ chế đồng bộ nguyên tử).</t>
  </si>
  <si>
    <t>Critical Thinking: LỖI LOGIC / ẢO TƯỞNG (Xem Tình huống 2 ở file MD) - So sánh không nguyên tử dẫn đến âm kho dưới áp lực đa luồng.
Contextualization: Đa luồng chia sẻ vùng nhớ chung.
Creative Synthesis: Bọc lệnh check-and-act trong khối synchronized (item) cực nhỏ.
Decision: Sử dụng synchronized để bảo vệ tính nguyên tử của phép CAS in-memory.</t>
  </si>
  <si>
    <t>SimulatorService.java: L240-260</t>
  </si>
  <si>
    <t>012</t>
  </si>
  <si>
    <t>Tối ưu thuật toán retry cho các thành viên VIP khi xảy ra xung đột Khóa lạc quan.</t>
  </si>
  <si>
    <t>Trong Optimistic Lock, làm sao để ưu tiên Diamond và Gold member được đặt hàng thành công hơn khi xảy ra xung đột version?</t>
  </si>
  <si>
    <t>AI gợi ý đặt một vòng lặp retry cố định tối đa 3 lần cho mọi thread.</t>
  </si>
  <si>
    <t>Critical Thinking: AI đối xử cào bằng giữa Standard và VIP, không tối ưu cho nghiệp vụ khách hàng Premium.
Contextualization: Khách VIP Diamond cần tỉ lệ thành công cao hơn.
Creative Synthesis: Tăng số lượng tối đa retry (maxRetries) lên 1.5 lần đối với DIAMOND và GOLD member.
Decision: Áp dụng số lần retry động dựa trên tier thành viên.</t>
  </si>
  <si>
    <t>SimulatorService.java: L95-98</t>
  </si>
  <si>
    <t>013</t>
  </si>
  <si>
    <t>Lỗi rò rỉ tài nguyên luồng khi ExecutorService không tắt đúng cách sau khi simulation kết thúc.</t>
  </si>
  <si>
    <t>Sau khi chạy xong Simulator, chương trình Java vẫn treo trên Console và không thoát được menu chính. Hãy sửa lỗi.</t>
  </si>
  <si>
    <t>AI khuyên gọi System.exit(0) ở cuối hàm.</t>
  </si>
  <si>
    <t>Critical Thinking: Lỗi cực kỳ nghiêm trọng (Oversimplification). Gọi System.exit(0) sẽ tắt luôn cả ứng dụng, phá hỏng kiến trúc chạy lặp lại của Console App.
Contextualization: Cần tắt Thread Pool một cách an toàn.
Creative Synthesis: Gọi executor.shutdown() và kết hợp awaitTermination để chờ các luồng tắt dần, nếu quá thời gian thì gọi shutdownNow().
Decision: Giải phóng tài nguyên ExecutorService một cách an toàn bằng cấu trúc try-catch termination.</t>
  </si>
  <si>
    <t>SimulatorService.java: L166-174</t>
  </si>
  <si>
    <t>014</t>
  </si>
  <si>
    <t>Xác minh kết quả tính toán Throughput (TPS) có chính xác hay không.</t>
  </si>
  <si>
    <t>Công thức tính TPS trong SimulatorService của tôi hiện tại là: TPS = (successCount + failedCount) / (durationMs / 1000.0). Kết quả ra số lẻ và đôi khi bị chia cho 0. Hãy tối ưu.</t>
  </si>
  <si>
    <t>AI khuyên ép kiểu sang int và trả về kết quả.</t>
  </si>
  <si>
    <t>Critical Thinking: Nếu durationMs rất nhỏ (ví dụ bằng 0), phép chia sẽ sinh ra lỗi ArithmeticException (division by zero).
Contextualization: Chạy thử nghiệm quy mô nhỏ có thể chạy cực nhanh (&lt; 1ms).
Creative Synthesis: Sử dụng Math.max(durationMs / 1000.0, 0.001) để chặn mẫu số và làm tròn kết quả bằng Math.round().
Decision: Sửa công thức tính TPS an toàn chặn lỗi chia cho 0.</t>
  </si>
  <si>
    <t>SimulatorService.java: L183-185</t>
  </si>
  <si>
    <t>015</t>
  </si>
  <si>
    <t>Kiểm chứng sự an toàn của cơ chế FILE_LOCK trong SimulatorService.</t>
  </si>
  <si>
    <t>Tôi muốn verify cơ chế FILE_LOCK có thực sự ngăn được âm kho trong SimulatorService không. Hãy code hàm purchaseFileLock.</t>
  </si>
  <si>
    <t>AI gợi ý sử dụng cơ chế FileLock vật lý của Java NIO Channel trực tiếp lên file CSV trong lúc Simulator chạy.</t>
  </si>
  <si>
    <t>Critical Thinking: Chạy 500 thread gọi FileLock vật lý trực tiếp lên file CSV sẽ gây nghẽn nghiêm trọng (Deadlock) ở mức OS và làm chậm hệ thống hàng trăm lần.
Contextualization: Ta chỉ cần giả lập File Lock bằng cách dùng một khóa ReentrantLock chung đại diện cho File Lock vật lý.
Creative Synthesis: Tạo ReentrantLock pessimisticLock truyền từ SimulatorService để mô phỏng khóa thô FileLock mức đĩa.
Decision: Giả lập cơ chế khóa độc quyền vật lý bằng ReentrantLock chung.</t>
  </si>
  <si>
    <t>SimulatorService.java: L68, L109, L217-228</t>
  </si>
  <si>
    <t>016</t>
  </si>
  <si>
    <t>Kiểm chứng và đo lường sự chênh lệch hiệu năng thực tế giữa các cơ chế khóa trong dự án.</t>
  </si>
  <si>
    <t>Làm thế nào để xuất báo cáo so sánh chi tiết số liệu TPS và tỷ lệ âm kho của 4 cơ chế khóa NO_LOCK, FILE_LOCK, SYNCHRONIZED, OPTIMISTIC_LOCK sau khi Simulator chạy?</t>
  </si>
  <si>
    <t>AI khuyên in trực tiếp ra console từng dòng kết quả sau mỗi lần chạy.</t>
  </si>
  <si>
    <t>Critical Thinking: AI chỉ in kết quả đơn lẻ, không tạo ra bảng so sánh trực quan để rút ra kết luận khoa học.
Contextualization: Sinh viên cần so sánh trực tiếp để trả lời Big Question.
Creative Synthesis: Xây dựng một bảng so sánh dạng ASCII trên console có cột tính toán tỷ lệ phần trăm thay đổi throughput so với Baseline (NO_LOCK).
Decision: Thiết kế bảng so sánh ASCII chi tiết cho báo cáo thực nghiệm.</t>
  </si>
  <si>
    <t>MainView.java (hoặc java_app_audit_report.md hiển thị kết quả so sánh)</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</si>
  <si>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</si>
  <si>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</si>
  <si>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</si>
  <si>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</si>
  <si>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</si>
  <si>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</si>
  <si>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</si>
  <si>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</si>
  <si>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t>
  </si>
  <si>
    <t>Đề xuất code Optimistic Lock in-memory đơn giản bằng cách check version không có đồng bộ hóa: 
if (item.version == currentVersion) { item.soldQty += qty; item.version++; }</t>
  </si>
  <si>
    <t>Khi chạy stress test với Simulator 500 threads, kết quả tồn kho bị âm (-15) và mất tính nhất quán dữ liệu do race condition xảy ra giữa thời điểm so khớp và cập nhật.</t>
  </si>
  <si>
    <t>Chạy giả lập Simulator với 500 threads và quan sát số lượng tồn kho còn lại in ra console.</t>
  </si>
  <si>
    <t>Sửa đổi hàm purchaseOptimistic bằng cách bọc khối check-and-act trong một synchronized block cực nhỏ để đảm bảo tính nguyên tử (atomic CAS).</t>
  </si>
  <si>
    <t>Oversimplification</t>
  </si>
  <si>
    <t>Khuyên dùng vòng lặp khởi chạy thread thông thường (executor.submit) để giả lập hàng trăm luồng đặt hàng đồng thời.</t>
  </si>
  <si>
    <t>Các thread được tạo ra chạy không đồng thời. Do trễ khởi tạo thread, các thread đầu đã chạy xong trước khi thread sau được tạo. TPS đo được không phản ánh đúng áp lực tải thực tế.</t>
  </si>
  <si>
    <t>Đặt log in ra timestamp milisecond của mỗi thread khi thực hiện mua hàng, phát hiện các timestamp phân tán cách xa nhau.</t>
  </si>
  <si>
    <t>Áp dụng rào chắn CountDownLatch(numThreads) để giữ tất cả luồng lại, đợi khởi tạo xong hết mới kích nổ đồng loạt.</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</si>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</sst>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2">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3" fillId="0" borderId="0">
      <alignment vertical="center"/>
    </xf>
    <xf numFmtId="0" fontId="14" fillId="0" borderId="0">
      <alignment vertical="center"/>
    </xf>
    <xf numFmtId="0" fontId="0" fillId="5" borderId="2">
      <alignment vertical="center"/>
    </xf>
    <xf numFmtId="0" fontId="15" fillId="0" borderId="0">
      <alignment vertical="center"/>
    </xf>
    <xf numFmtId="0" fontId="16" fillId="0" borderId="0">
      <alignment vertical="center"/>
    </xf>
    <xf numFmtId="0" fontId="17" fillId="0" borderId="0">
      <alignment vertical="center"/>
    </xf>
    <xf numFmtId="0" fontId="18" fillId="0" borderId="3">
      <alignment vertical="center"/>
    </xf>
    <xf numFmtId="0" fontId="19" fillId="0" borderId="3">
      <alignment vertical="center"/>
    </xf>
    <xf numFmtId="0" fontId="20" fillId="0" borderId="4">
      <alignment vertical="center"/>
    </xf>
    <xf numFmtId="0" fontId="20" fillId="0" borderId="0">
      <alignment vertical="center"/>
    </xf>
    <xf numFmtId="0" fontId="21" fillId="6" borderId="5">
      <alignment vertical="center"/>
    </xf>
    <xf numFmtId="0" fontId="22" fillId="7" borderId="6">
      <alignment vertical="center"/>
    </xf>
    <xf numFmtId="0" fontId="23" fillId="7" borderId="5">
      <alignment vertical="center"/>
    </xf>
    <xf numFmtId="0" fontId="24" fillId="8" borderId="7">
      <alignment vertical="center"/>
    </xf>
    <xf numFmtId="0" fontId="25" fillId="0" borderId="8">
      <alignment vertical="center"/>
    </xf>
    <xf numFmtId="0" fontId="26" fillId="0" borderId="9">
      <alignment vertical="center"/>
    </xf>
    <xf numFmtId="0" fontId="27" fillId="9" borderId="0">
      <alignment vertical="center"/>
    </xf>
    <xf numFmtId="0" fontId="28" fillId="10" borderId="0">
      <alignment vertical="center"/>
    </xf>
    <xf numFmtId="0" fontId="29" fillId="11" borderId="0">
      <alignment vertical="center"/>
    </xf>
    <xf numFmtId="0" fontId="30" fillId="12" borderId="0">
      <alignment vertical="center"/>
    </xf>
    <xf numFmtId="0" fontId="31" fillId="13" borderId="0">
      <alignment vertical="center"/>
    </xf>
    <xf numFmtId="0" fontId="31" fillId="14" borderId="0">
      <alignment vertical="center"/>
    </xf>
    <xf numFmtId="0" fontId="30" fillId="15" borderId="0">
      <alignment vertical="center"/>
    </xf>
    <xf numFmtId="0" fontId="30" fillId="16" borderId="0">
      <alignment vertical="center"/>
    </xf>
    <xf numFmtId="0" fontId="31" fillId="17" borderId="0">
      <alignment vertical="center"/>
    </xf>
    <xf numFmtId="0" fontId="31" fillId="18" borderId="0">
      <alignment vertical="center"/>
    </xf>
    <xf numFmtId="0" fontId="30" fillId="19" borderId="0">
      <alignment vertical="center"/>
    </xf>
    <xf numFmtId="0" fontId="30" fillId="20" borderId="0">
      <alignment vertical="center"/>
    </xf>
    <xf numFmtId="0" fontId="31" fillId="21" borderId="0">
      <alignment vertical="center"/>
    </xf>
    <xf numFmtId="0" fontId="31" fillId="22" borderId="0">
      <alignment vertical="center"/>
    </xf>
    <xf numFmtId="0" fontId="30" fillId="23" borderId="0">
      <alignment vertical="center"/>
    </xf>
    <xf numFmtId="0" fontId="30" fillId="24" borderId="0">
      <alignment vertical="center"/>
    </xf>
    <xf numFmtId="0" fontId="31" fillId="25" borderId="0">
      <alignment vertical="center"/>
    </xf>
    <xf numFmtId="0" fontId="31" fillId="26" borderId="0">
      <alignment vertical="center"/>
    </xf>
    <xf numFmtId="0" fontId="30" fillId="27" borderId="0">
      <alignment vertical="center"/>
    </xf>
    <xf numFmtId="0" fontId="30" fillId="28" borderId="0">
      <alignment vertical="center"/>
    </xf>
    <xf numFmtId="0" fontId="31" fillId="29" borderId="0">
      <alignment vertical="center"/>
    </xf>
    <xf numFmtId="0" fontId="31" fillId="30" borderId="0">
      <alignment vertical="center"/>
    </xf>
    <xf numFmtId="0" fontId="30" fillId="31" borderId="0">
      <alignment vertical="center"/>
    </xf>
    <xf numFmtId="0" fontId="30" fillId="32" borderId="0">
      <alignment vertical="center"/>
    </xf>
    <xf numFmtId="0" fontId="31" fillId="33" borderId="0">
      <alignment vertical="center"/>
    </xf>
    <xf numFmtId="0" fontId="31" fillId="34" borderId="0">
      <alignment vertical="center"/>
    </xf>
    <xf numFmtId="0" fontId="30" fillId="35" borderId="0">
      <alignment vertical="center"/>
    </xf>
  </cellStyleXfs>
  <cellXfs count="23">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left" vertical="top" wrapText="1"/>
    </xf>
    <xf numFmtId="0" fontId="9" fillId="0" borderId="0" xfId="0" applyFont="1"/>
    <xf numFmtId="0" fontId="0" fillId="4" borderId="0" xfId="0" applyFill="1"/>
    <xf numFmtId="178" fontId="0" fillId="0" borderId="0" xfId="0" applyNumberFormat="1"/>
    <xf numFmtId="0" fontId="12" fillId="0" borderId="0" xfId="0" applyFont="1"/>
    <xf numFmtId="0" fontId="0" fillId="4" borderId="1" xfId="0"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opLeftCell="A9" workbookViewId="0">
      <selection activeCell="A1" sqref="A1:F1"/>
    </sheetView>
  </sheetViews>
  <sheetFormatPr defaultColWidth="9" defaultRowHeight="14.4" outlineLevelCol="5"/>
  <cols>
    <col min="1" max="1" width="25" customWidth="1"/>
    <col min="2" max="2" width="40" customWidth="1"/>
    <col min="3" max="3" width="15" customWidth="1"/>
    <col min="4" max="4" width="30" customWidth="1"/>
    <col min="5" max="6" width="20" customWidth="1"/>
  </cols>
  <sheetData>
    <row r="1" ht="21" customHeight="1" spans="1:5">
      <c r="A1" s="1" t="s">
        <v>0</v>
      </c>
    </row>
    <row r="3" ht="18" customHeight="1" spans="1:5">
      <c r="A3" s="3" t="s">
        <v>1</v>
      </c>
    </row>
    <row r="4" spans="1:5">
      <c r="A4" s="18" t="s">
        <v>2</v>
      </c>
      <c r="C4" t="s">
        <v>3</v>
      </c>
    </row>
    <row r="5" spans="1:5">
      <c r="A5" s="18" t="s">
        <v>4</v>
      </c>
      <c r="C5" t="s">
        <v>5</v>
      </c>
    </row>
    <row r="6" spans="1:5">
      <c r="A6" s="18" t="s">
        <v>6</v>
      </c>
      <c r="C6" t="s">
        <v>7</v>
      </c>
    </row>
    <row r="7" spans="1:5">
      <c r="A7" s="18" t="s">
        <v>8</v>
      </c>
      <c r="C7" t="s">
        <v>9</v>
      </c>
    </row>
    <row r="9" ht="18" customHeight="1" spans="1:5">
      <c r="A9" s="3" t="s">
        <v>10</v>
      </c>
    </row>
    <row r="10" spans="1:5">
      <c r="A10" s="18" t="s">
        <v>11</v>
      </c>
      <c r="C10">
        <v>85</v>
      </c>
    </row>
    <row r="11" spans="1:5">
      <c r="A11" s="18" t="s">
        <v>12</v>
      </c>
      <c r="C11" s="19">
        <v>16</v>
      </c>
    </row>
    <row r="12" spans="1:5">
      <c r="A12" s="18" t="s">
        <v>13</v>
      </c>
      <c r="C12" s="20">
        <f>C11/C10</f>
        <v>0.188235294117647</v>
      </c>
      <c r="E12" s="21" t="s">
        <v>14</v>
      </c>
    </row>
    <row r="13" spans="1:5">
      <c r="A13" s="18" t="s">
        <v>15</v>
      </c>
      <c r="C13" s="19">
        <v>2</v>
      </c>
    </row>
    <row r="15" ht="18" customHeight="1" spans="1:5">
      <c r="A15" s="3" t="s">
        <v>16</v>
      </c>
    </row>
    <row r="16" spans="1:5">
      <c r="A16" s="4" t="s">
        <v>17</v>
      </c>
      <c r="B16" s="4" t="s">
        <v>18</v>
      </c>
      <c r="C16" s="4" t="s">
        <v>19</v>
      </c>
      <c r="D16" s="4" t="s">
        <v>20</v>
      </c>
    </row>
    <row r="17" spans="1:4">
      <c r="A17" s="14" t="s">
        <v>21</v>
      </c>
      <c r="B17" s="14" t="s">
        <v>22</v>
      </c>
      <c r="C17" s="14" t="s">
        <v>23</v>
      </c>
      <c r="D17" s="14" t="s">
        <v>24</v>
      </c>
    </row>
    <row r="18" spans="1:4">
      <c r="A18" s="14" t="s">
        <v>25</v>
      </c>
      <c r="B18" s="14" t="s">
        <v>26</v>
      </c>
      <c r="C18" s="14" t="s">
        <v>27</v>
      </c>
      <c r="D18" s="14" t="s">
        <v>28</v>
      </c>
    </row>
    <row r="19" spans="1:4">
      <c r="A19" s="14" t="s">
        <v>29</v>
      </c>
      <c r="B19" s="14" t="s">
        <v>30</v>
      </c>
      <c r="C19" s="14" t="s">
        <v>23</v>
      </c>
      <c r="D19" s="14" t="s">
        <v>31</v>
      </c>
    </row>
    <row r="20" spans="1:4">
      <c r="A20" s="14" t="s">
        <v>32</v>
      </c>
      <c r="B20" s="14" t="s">
        <v>33</v>
      </c>
      <c r="C20" s="14" t="s">
        <v>33</v>
      </c>
      <c r="D20" s="14" t="s">
        <v>33</v>
      </c>
    </row>
    <row r="22" ht="18" customHeight="1" spans="1:4">
      <c r="A22" s="3" t="s">
        <v>34</v>
      </c>
    </row>
    <row r="23" spans="1:4">
      <c r="A23" s="4" t="s">
        <v>35</v>
      </c>
      <c r="B23" s="4" t="s">
        <v>36</v>
      </c>
      <c r="C23" s="4" t="s">
        <v>37</v>
      </c>
    </row>
    <row r="24" spans="1:4">
      <c r="A24" s="14" t="s">
        <v>38</v>
      </c>
      <c r="B24" s="22">
        <v>2</v>
      </c>
      <c r="C24" s="13" t="s">
        <v>39</v>
      </c>
    </row>
    <row r="25" spans="1:4">
      <c r="A25" s="14" t="s">
        <v>40</v>
      </c>
      <c r="B25" s="22">
        <v>3</v>
      </c>
      <c r="C25" s="13" t="s">
        <v>39</v>
      </c>
    </row>
    <row r="26" spans="1:4">
      <c r="A26" s="14" t="s">
        <v>41</v>
      </c>
      <c r="B26" s="22">
        <v>3</v>
      </c>
      <c r="C26" s="13" t="s">
        <v>39</v>
      </c>
    </row>
    <row r="27" spans="1:4">
      <c r="A27" s="14" t="s">
        <v>42</v>
      </c>
      <c r="B27" s="22">
        <v>8</v>
      </c>
      <c r="C27" s="13" t="s">
        <v>39</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abSelected="1" topLeftCell="A6" workbookViewId="0">
      <selection activeCell="A1" sqref="A1:H1"/>
    </sheetView>
  </sheetViews>
  <sheetFormatPr defaultColWidth="9" defaultRowHeight="14.4"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customHeight="1" spans="1:8">
      <c r="A1" s="1" t="s">
        <v>43</v>
      </c>
    </row>
    <row r="2" ht="30" customHeight="1" spans="1:8">
      <c r="A2" s="17" t="s">
        <v>44</v>
      </c>
    </row>
    <row r="3" ht="40" customHeight="1" spans="1:8">
      <c r="A3" s="4" t="s">
        <v>45</v>
      </c>
      <c r="B3" s="4" t="s">
        <v>46</v>
      </c>
      <c r="C3" s="4" t="s">
        <v>47</v>
      </c>
      <c r="D3" s="4" t="s">
        <v>48</v>
      </c>
      <c r="E3" s="4" t="s">
        <v>49</v>
      </c>
      <c r="F3" s="4" t="s">
        <v>50</v>
      </c>
      <c r="G3" s="4" t="s">
        <v>51</v>
      </c>
      <c r="H3" s="4" t="s">
        <v>52</v>
      </c>
    </row>
    <row r="4" ht="100" customHeight="1" spans="1:8">
      <c r="A4" s="14" t="s">
        <v>53</v>
      </c>
      <c r="B4" s="14" t="s">
        <v>54</v>
      </c>
      <c r="C4" s="14" t="s">
        <v>38</v>
      </c>
      <c r="D4" s="14" t="s">
        <v>55</v>
      </c>
      <c r="E4" s="14" t="s">
        <v>56</v>
      </c>
      <c r="F4" s="14" t="s">
        <v>57</v>
      </c>
      <c r="G4" s="14" t="s">
        <v>58</v>
      </c>
      <c r="H4" s="14" t="s">
        <v>59</v>
      </c>
    </row>
    <row r="5" ht="100" customHeight="1" spans="1:8">
      <c r="A5" s="14" t="s">
        <v>60</v>
      </c>
      <c r="B5" s="14" t="s">
        <v>54</v>
      </c>
      <c r="C5" s="14" t="s">
        <v>38</v>
      </c>
      <c r="D5" s="14" t="s">
        <v>61</v>
      </c>
      <c r="E5" s="14" t="s">
        <v>62</v>
      </c>
      <c r="F5" s="14" t="s">
        <v>63</v>
      </c>
      <c r="G5" s="14" t="s">
        <v>64</v>
      </c>
      <c r="H5" s="14" t="s">
        <v>65</v>
      </c>
    </row>
    <row r="6" ht="100" customHeight="1" spans="1:8">
      <c r="A6" s="14" t="s">
        <v>66</v>
      </c>
      <c r="B6" s="14" t="s">
        <v>54</v>
      </c>
      <c r="C6" s="14" t="s">
        <v>40</v>
      </c>
      <c r="D6" s="14" t="s">
        <v>67</v>
      </c>
      <c r="E6" s="14" t="s">
        <v>68</v>
      </c>
      <c r="F6" s="14" t="s">
        <v>69</v>
      </c>
      <c r="G6" s="14" t="s">
        <v>70</v>
      </c>
      <c r="H6" s="14" t="s">
        <v>71</v>
      </c>
    </row>
    <row r="7" ht="80" customHeight="1" spans="1:8">
      <c r="A7" s="14" t="s">
        <v>72</v>
      </c>
      <c r="B7" s="14" t="s">
        <v>54</v>
      </c>
      <c r="C7" s="14" t="s">
        <v>40</v>
      </c>
      <c r="D7" s="14" t="s">
        <v>73</v>
      </c>
      <c r="E7" s="14" t="s">
        <v>74</v>
      </c>
      <c r="F7" s="14" t="s">
        <v>75</v>
      </c>
      <c r="G7" s="14" t="s">
        <v>76</v>
      </c>
      <c r="H7" s="14" t="s">
        <v>77</v>
      </c>
    </row>
    <row r="8" ht="80" customHeight="1" spans="1:8">
      <c r="A8" s="14" t="s">
        <v>78</v>
      </c>
      <c r="B8" s="14" t="s">
        <v>54</v>
      </c>
      <c r="C8" s="14" t="s">
        <v>40</v>
      </c>
      <c r="D8" s="14" t="s">
        <v>79</v>
      </c>
      <c r="E8" s="14" t="s">
        <v>80</v>
      </c>
      <c r="F8" s="14" t="s">
        <v>81</v>
      </c>
      <c r="G8" s="14" t="s">
        <v>82</v>
      </c>
      <c r="H8" s="14" t="s">
        <v>83</v>
      </c>
    </row>
    <row r="9" ht="80" customHeight="1" spans="1:8">
      <c r="A9" s="14" t="s">
        <v>84</v>
      </c>
      <c r="B9" s="14" t="s">
        <v>54</v>
      </c>
      <c r="C9" s="14" t="s">
        <v>41</v>
      </c>
      <c r="D9" s="14" t="s">
        <v>85</v>
      </c>
      <c r="E9" s="14" t="s">
        <v>86</v>
      </c>
      <c r="F9" s="14" t="s">
        <v>87</v>
      </c>
      <c r="G9" s="14" t="s">
        <v>88</v>
      </c>
      <c r="H9" s="14" t="s">
        <v>89</v>
      </c>
    </row>
    <row r="10" ht="80" customHeight="1" spans="1:8">
      <c r="A10" s="14" t="s">
        <v>90</v>
      </c>
      <c r="B10" s="14" t="s">
        <v>54</v>
      </c>
      <c r="C10" s="14" t="s">
        <v>41</v>
      </c>
      <c r="D10" s="14" t="s">
        <v>91</v>
      </c>
      <c r="E10" s="14" t="s">
        <v>92</v>
      </c>
      <c r="F10" s="14" t="s">
        <v>93</v>
      </c>
      <c r="G10" s="14" t="s">
        <v>94</v>
      </c>
      <c r="H10" s="14" t="s">
        <v>95</v>
      </c>
    </row>
    <row r="11" ht="80" customHeight="1" spans="1:8">
      <c r="A11" s="14" t="s">
        <v>96</v>
      </c>
      <c r="B11" s="14" t="s">
        <v>54</v>
      </c>
      <c r="C11" s="14" t="s">
        <v>41</v>
      </c>
      <c r="D11" s="14" t="s">
        <v>97</v>
      </c>
      <c r="E11" s="14" t="s">
        <v>98</v>
      </c>
      <c r="F11" s="14" t="s">
        <v>99</v>
      </c>
      <c r="G11" s="14" t="s">
        <v>100</v>
      </c>
      <c r="H11" s="14" t="s">
        <v>101</v>
      </c>
    </row>
    <row r="12" ht="80" customHeight="1" spans="1:8">
      <c r="A12" s="14" t="s">
        <v>102</v>
      </c>
      <c r="B12" s="14" t="s">
        <v>103</v>
      </c>
      <c r="C12" s="14" t="s">
        <v>42</v>
      </c>
      <c r="D12" s="14" t="s">
        <v>104</v>
      </c>
      <c r="E12" s="14" t="s">
        <v>105</v>
      </c>
      <c r="F12" s="14" t="s">
        <v>106</v>
      </c>
      <c r="G12" s="14" t="s">
        <v>107</v>
      </c>
      <c r="H12" s="14" t="s">
        <v>108</v>
      </c>
    </row>
    <row r="13" ht="80" customHeight="1" spans="1:8">
      <c r="A13" s="14" t="s">
        <v>109</v>
      </c>
      <c r="B13" s="14" t="s">
        <v>103</v>
      </c>
      <c r="C13" s="14" t="s">
        <v>42</v>
      </c>
      <c r="D13" s="14" t="s">
        <v>110</v>
      </c>
      <c r="E13" s="14" t="s">
        <v>111</v>
      </c>
      <c r="F13" s="14" t="s">
        <v>112</v>
      </c>
      <c r="G13" s="14" t="s">
        <v>113</v>
      </c>
      <c r="H13" s="14" t="s">
        <v>114</v>
      </c>
    </row>
    <row r="14" ht="80" customHeight="1" spans="1:8">
      <c r="A14" s="14" t="s">
        <v>115</v>
      </c>
      <c r="B14" s="14" t="s">
        <v>116</v>
      </c>
      <c r="C14" s="14" t="s">
        <v>42</v>
      </c>
      <c r="D14" s="14" t="s">
        <v>117</v>
      </c>
      <c r="E14" s="14" t="s">
        <v>118</v>
      </c>
      <c r="F14" s="14" t="s">
        <v>119</v>
      </c>
      <c r="G14" s="14" t="s">
        <v>120</v>
      </c>
      <c r="H14" s="14" t="s">
        <v>121</v>
      </c>
    </row>
    <row r="15" ht="80" customHeight="1" spans="1:8">
      <c r="A15" s="14" t="s">
        <v>122</v>
      </c>
      <c r="B15" s="14" t="s">
        <v>103</v>
      </c>
      <c r="C15" s="14" t="s">
        <v>42</v>
      </c>
      <c r="D15" s="14" t="s">
        <v>123</v>
      </c>
      <c r="E15" s="14" t="s">
        <v>124</v>
      </c>
      <c r="F15" s="14" t="s">
        <v>125</v>
      </c>
      <c r="G15" s="14" t="s">
        <v>126</v>
      </c>
      <c r="H15" s="14" t="s">
        <v>127</v>
      </c>
    </row>
    <row r="16" ht="80" customHeight="1" spans="1:8">
      <c r="A16" s="14" t="s">
        <v>128</v>
      </c>
      <c r="B16" s="14" t="s">
        <v>103</v>
      </c>
      <c r="C16" s="14" t="s">
        <v>42</v>
      </c>
      <c r="D16" s="14" t="s">
        <v>129</v>
      </c>
      <c r="E16" s="14" t="s">
        <v>130</v>
      </c>
      <c r="F16" s="14" t="s">
        <v>131</v>
      </c>
      <c r="G16" s="14" t="s">
        <v>132</v>
      </c>
      <c r="H16" s="14" t="s">
        <v>133</v>
      </c>
    </row>
    <row r="17" ht="80" customHeight="1" spans="1:8">
      <c r="A17" s="14" t="s">
        <v>134</v>
      </c>
      <c r="B17" s="14" t="s">
        <v>116</v>
      </c>
      <c r="C17" s="14" t="s">
        <v>42</v>
      </c>
      <c r="D17" s="14" t="s">
        <v>135</v>
      </c>
      <c r="E17" s="14" t="s">
        <v>136</v>
      </c>
      <c r="F17" s="14" t="s">
        <v>137</v>
      </c>
      <c r="G17" s="14" t="s">
        <v>138</v>
      </c>
      <c r="H17" s="14" t="s">
        <v>139</v>
      </c>
    </row>
    <row r="18" ht="80" customHeight="1" spans="1:8">
      <c r="A18" s="14" t="s">
        <v>140</v>
      </c>
      <c r="B18" s="14" t="s">
        <v>116</v>
      </c>
      <c r="C18" s="14" t="s">
        <v>42</v>
      </c>
      <c r="D18" s="14" t="s">
        <v>141</v>
      </c>
      <c r="E18" s="14" t="s">
        <v>142</v>
      </c>
      <c r="F18" s="14" t="s">
        <v>143</v>
      </c>
      <c r="G18" s="14" t="s">
        <v>144</v>
      </c>
      <c r="H18" s="14" t="s">
        <v>145</v>
      </c>
    </row>
    <row r="19" ht="80" customHeight="1" spans="1:8">
      <c r="A19" s="14" t="s">
        <v>146</v>
      </c>
      <c r="B19" s="14" t="s">
        <v>116</v>
      </c>
      <c r="C19" s="14" t="s">
        <v>42</v>
      </c>
      <c r="D19" s="14" t="s">
        <v>147</v>
      </c>
      <c r="E19" s="14" t="s">
        <v>148</v>
      </c>
      <c r="F19" s="14" t="s">
        <v>149</v>
      </c>
      <c r="G19" s="14" t="s">
        <v>150</v>
      </c>
      <c r="H19" s="14" t="s">
        <v>151</v>
      </c>
    </row>
    <row r="20" ht="80" customHeight="1" spans="1:8">
      <c r="A20" s="14"/>
      <c r="B20" s="14"/>
      <c r="C20" s="14"/>
      <c r="D20" s="14"/>
      <c r="E20" s="14"/>
      <c r="F20" s="14"/>
      <c r="G20" s="14"/>
      <c r="H20" s="14"/>
    </row>
    <row r="21" ht="80" customHeight="1" spans="1:8">
      <c r="A21" s="14"/>
      <c r="B21" s="14"/>
      <c r="C21" s="14"/>
      <c r="D21" s="14"/>
      <c r="E21" s="14"/>
      <c r="F21" s="14"/>
      <c r="G21" s="14"/>
      <c r="H21" s="14"/>
    </row>
    <row r="22" ht="80" customHeight="1" spans="1:8">
      <c r="A22" s="14"/>
      <c r="B22" s="14"/>
      <c r="C22" s="14"/>
      <c r="D22" s="14"/>
      <c r="E22" s="14"/>
      <c r="F22" s="14"/>
      <c r="G22" s="14"/>
      <c r="H22" s="14"/>
    </row>
    <row r="23" ht="80" customHeight="1" spans="1:8">
      <c r="A23" s="14"/>
      <c r="B23" s="14"/>
      <c r="C23" s="14"/>
      <c r="D23" s="14"/>
      <c r="E23" s="14"/>
      <c r="F23" s="14"/>
      <c r="G23" s="14"/>
      <c r="H23" s="14"/>
    </row>
    <row r="24" ht="80" customHeight="1" spans="1:8">
      <c r="A24" s="14"/>
      <c r="B24" s="14"/>
      <c r="C24" s="14"/>
      <c r="D24" s="14"/>
      <c r="E24" s="14"/>
      <c r="F24" s="14"/>
      <c r="G24" s="14"/>
      <c r="H24" s="14"/>
    </row>
    <row r="25" ht="80" customHeight="1" spans="1:8">
      <c r="A25" s="14"/>
      <c r="B25" s="14"/>
      <c r="C25" s="14"/>
      <c r="D25" s="14"/>
      <c r="E25" s="14"/>
      <c r="F25" s="14"/>
      <c r="G25" s="14"/>
      <c r="H25" s="14"/>
    </row>
    <row r="26" ht="80" customHeight="1" spans="1:8">
      <c r="A26" s="14"/>
      <c r="B26" s="14"/>
      <c r="C26" s="14"/>
      <c r="D26" s="14"/>
      <c r="E26" s="14"/>
      <c r="F26" s="14"/>
      <c r="G26" s="14"/>
      <c r="H26" s="14"/>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A1" sqref="A1:F1"/>
    </sheetView>
  </sheetViews>
  <sheetFormatPr defaultColWidth="9" defaultRowHeight="14.4" outlineLevelCol="5"/>
  <cols>
    <col min="1" max="1" width="12" customWidth="1"/>
    <col min="2" max="2" width="22" customWidth="1"/>
    <col min="3" max="6" width="30" customWidth="1"/>
  </cols>
  <sheetData>
    <row r="1" ht="21" customHeight="1" spans="1:6">
      <c r="A1" s="15" t="s">
        <v>152</v>
      </c>
    </row>
    <row r="2" spans="1:6">
      <c r="A2" s="16" t="s">
        <v>153</v>
      </c>
    </row>
    <row r="3" ht="40" customHeight="1" spans="1:6">
      <c r="A3" s="4" t="s">
        <v>154</v>
      </c>
      <c r="B3" s="4" t="s">
        <v>155</v>
      </c>
      <c r="C3" s="4" t="s">
        <v>156</v>
      </c>
      <c r="D3" s="4" t="s">
        <v>157</v>
      </c>
      <c r="E3" s="4" t="s">
        <v>158</v>
      </c>
      <c r="F3" s="4" t="s">
        <v>159</v>
      </c>
    </row>
    <row r="4" ht="60" customHeight="1" spans="1:6">
      <c r="A4" s="14" t="s">
        <v>115</v>
      </c>
      <c r="B4" s="14" t="s">
        <v>160</v>
      </c>
      <c r="C4" s="14" t="s">
        <v>161</v>
      </c>
      <c r="D4" s="14" t="s">
        <v>162</v>
      </c>
      <c r="E4" s="14" t="s">
        <v>163</v>
      </c>
      <c r="F4" s="14" t="s">
        <v>164</v>
      </c>
    </row>
    <row r="5" ht="86.4" customHeight="1" spans="1:6">
      <c r="A5" s="14" t="s">
        <v>102</v>
      </c>
      <c r="B5" s="14" t="s">
        <v>165</v>
      </c>
      <c r="C5" s="14" t="s">
        <v>166</v>
      </c>
      <c r="D5" s="14" t="s">
        <v>167</v>
      </c>
      <c r="E5" s="14" t="s">
        <v>168</v>
      </c>
      <c r="F5" s="14" t="s">
        <v>169</v>
      </c>
    </row>
    <row r="6" ht="60" customHeight="1" spans="1:6">
      <c r="A6" s="14"/>
      <c r="B6" s="14"/>
      <c r="C6" s="14"/>
      <c r="D6" s="14"/>
      <c r="E6" s="14"/>
      <c r="F6" s="14"/>
    </row>
    <row r="7" ht="60" customHeight="1" spans="1:6">
      <c r="A7" s="14"/>
      <c r="B7" s="14"/>
      <c r="C7" s="14"/>
      <c r="D7" s="14"/>
      <c r="E7" s="14"/>
      <c r="F7" s="14"/>
    </row>
    <row r="8" ht="60" customHeight="1" spans="1:6">
      <c r="A8" s="14"/>
      <c r="B8" s="14"/>
      <c r="C8" s="14"/>
      <c r="D8" s="14"/>
      <c r="E8" s="14"/>
      <c r="F8" s="14"/>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 customHeight="1" spans="1:6">
      <c r="A30" s="3" t="s">
        <v>170</v>
      </c>
    </row>
    <row r="31" spans="1:6">
      <c r="A31" s="12" t="s">
        <v>171</v>
      </c>
      <c r="B31" s="12" t="s">
        <v>172</v>
      </c>
      <c r="C31" s="12" t="s">
        <v>173</v>
      </c>
    </row>
    <row r="32" ht="28.8" customHeight="1" spans="1:6">
      <c r="A32" s="14" t="s">
        <v>174</v>
      </c>
      <c r="B32" s="14" t="s">
        <v>175</v>
      </c>
      <c r="C32" s="14" t="s">
        <v>176</v>
      </c>
    </row>
    <row r="33" ht="28.8" customHeight="1" spans="1:3">
      <c r="A33" s="14" t="s">
        <v>165</v>
      </c>
      <c r="B33" s="14" t="s">
        <v>177</v>
      </c>
      <c r="C33" s="14" t="s">
        <v>178</v>
      </c>
    </row>
    <row r="34" ht="28.8" customHeight="1" spans="1:3">
      <c r="A34" s="14" t="s">
        <v>160</v>
      </c>
      <c r="B34" s="14" t="s">
        <v>179</v>
      </c>
      <c r="C34" s="14" t="s">
        <v>180</v>
      </c>
    </row>
    <row r="35" ht="28.8" customHeight="1" spans="1:3">
      <c r="A35" s="14" t="s">
        <v>181</v>
      </c>
      <c r="B35" s="14" t="s">
        <v>182</v>
      </c>
      <c r="C35" s="14" t="s">
        <v>183</v>
      </c>
    </row>
    <row r="36" ht="43.2" customHeight="1" spans="1:3">
      <c r="A36" s="14" t="s">
        <v>184</v>
      </c>
      <c r="B36" s="14" t="s">
        <v>185</v>
      </c>
      <c r="C36" s="14" t="s">
        <v>186</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D27" sqref="D27"/>
    </sheetView>
  </sheetViews>
  <sheetFormatPr defaultColWidth="9" defaultRowHeight="14.4" outlineLevelCol="3"/>
  <cols>
    <col min="1" max="1" width="8" customWidth="1"/>
    <col min="2" max="2" width="60" customWidth="1"/>
    <col min="3" max="3" width="10" customWidth="1"/>
    <col min="4" max="4" width="30" customWidth="1"/>
  </cols>
  <sheetData>
    <row r="1" ht="21" customHeight="1" spans="1:4">
      <c r="A1" s="1" t="s">
        <v>187</v>
      </c>
    </row>
    <row r="2" spans="1:4">
      <c r="A2" s="2" t="s">
        <v>188</v>
      </c>
    </row>
    <row r="4" ht="18" customHeight="1" spans="1:4">
      <c r="A4" s="3" t="s">
        <v>189</v>
      </c>
    </row>
    <row r="5" spans="1:4">
      <c r="A5" s="4" t="s">
        <v>190</v>
      </c>
      <c r="B5" s="5" t="s">
        <v>191</v>
      </c>
      <c r="C5" s="4" t="s">
        <v>192</v>
      </c>
      <c r="D5" s="5" t="s">
        <v>193</v>
      </c>
    </row>
    <row r="6" spans="1:4">
      <c r="A6" s="6" t="s">
        <v>194</v>
      </c>
      <c r="B6" s="7" t="s">
        <v>195</v>
      </c>
      <c r="C6" s="6" t="s">
        <v>196</v>
      </c>
      <c r="D6" s="7" t="s">
        <v>33</v>
      </c>
    </row>
    <row r="7" spans="1:4">
      <c r="A7" s="6" t="s">
        <v>197</v>
      </c>
      <c r="B7" s="7" t="s">
        <v>198</v>
      </c>
      <c r="C7" s="6" t="s">
        <v>196</v>
      </c>
      <c r="D7" s="7" t="s">
        <v>33</v>
      </c>
    </row>
    <row r="8" spans="1:4">
      <c r="A8" s="6" t="s">
        <v>199</v>
      </c>
      <c r="B8" s="7" t="s">
        <v>200</v>
      </c>
      <c r="C8" s="6" t="s">
        <v>196</v>
      </c>
      <c r="D8" s="7" t="s">
        <v>33</v>
      </c>
    </row>
    <row r="9" spans="1:4">
      <c r="A9" s="6" t="s">
        <v>201</v>
      </c>
      <c r="B9" s="7" t="s">
        <v>202</v>
      </c>
      <c r="C9" s="6" t="s">
        <v>196</v>
      </c>
      <c r="D9" s="7" t="s">
        <v>33</v>
      </c>
    </row>
    <row r="10" spans="1:4">
      <c r="A10" s="6" t="s">
        <v>203</v>
      </c>
      <c r="B10" s="7" t="s">
        <v>204</v>
      </c>
      <c r="C10" s="6" t="s">
        <v>196</v>
      </c>
      <c r="D10" s="7" t="s">
        <v>33</v>
      </c>
    </row>
    <row r="12" ht="18" customHeight="1" spans="1:4">
      <c r="A12" s="3" t="s">
        <v>205</v>
      </c>
    </row>
    <row r="13" spans="1:4">
      <c r="A13" s="4" t="s">
        <v>190</v>
      </c>
      <c r="B13" s="5" t="s">
        <v>191</v>
      </c>
      <c r="C13" s="4" t="s">
        <v>192</v>
      </c>
      <c r="D13" s="5" t="s">
        <v>206</v>
      </c>
    </row>
    <row r="14" spans="1:4">
      <c r="A14" s="6" t="s">
        <v>194</v>
      </c>
      <c r="B14" s="7" t="s">
        <v>207</v>
      </c>
      <c r="C14" s="6" t="s">
        <v>196</v>
      </c>
      <c r="D14" s="7" t="s">
        <v>33</v>
      </c>
    </row>
    <row r="15" spans="1:4">
      <c r="A15" s="6" t="s">
        <v>197</v>
      </c>
      <c r="B15" s="7" t="s">
        <v>208</v>
      </c>
      <c r="C15" s="6" t="s">
        <v>196</v>
      </c>
      <c r="D15" s="7" t="s">
        <v>33</v>
      </c>
    </row>
    <row r="16" spans="1:4">
      <c r="A16" s="6" t="s">
        <v>199</v>
      </c>
      <c r="B16" s="7" t="s">
        <v>209</v>
      </c>
      <c r="C16" s="6" t="s">
        <v>196</v>
      </c>
      <c r="D16" s="7" t="s">
        <v>33</v>
      </c>
    </row>
    <row r="17" spans="1:4">
      <c r="A17" s="6" t="s">
        <v>201</v>
      </c>
      <c r="B17" s="7" t="s">
        <v>210</v>
      </c>
      <c r="C17" s="6" t="s">
        <v>196</v>
      </c>
      <c r="D17" s="7" t="s">
        <v>33</v>
      </c>
    </row>
    <row r="18" spans="1:4">
      <c r="A18" s="6" t="s">
        <v>203</v>
      </c>
      <c r="B18" s="7" t="s">
        <v>211</v>
      </c>
      <c r="C18" s="6" t="s">
        <v>196</v>
      </c>
      <c r="D18" s="7" t="s">
        <v>33</v>
      </c>
    </row>
    <row r="20" ht="15.6" customHeight="1" spans="1:4">
      <c r="A20" s="8" t="s">
        <v>212</v>
      </c>
    </row>
    <row r="21" spans="1:4">
      <c r="A21" s="9" t="s">
        <v>213</v>
      </c>
    </row>
    <row r="22" spans="1:4">
      <c r="A22" s="9" t="s">
        <v>214</v>
      </c>
    </row>
    <row r="25" ht="18" customHeight="1" spans="1:4">
      <c r="A25" s="3" t="s">
        <v>215</v>
      </c>
    </row>
    <row r="26" spans="1:4">
      <c r="A26" s="10" t="s">
        <v>216</v>
      </c>
    </row>
    <row r="27" ht="43.2" customHeight="1" spans="1:4">
      <c r="A27" s="11" t="s">
        <v>45</v>
      </c>
      <c r="B27" s="12" t="s">
        <v>217</v>
      </c>
      <c r="C27" s="12" t="s">
        <v>218</v>
      </c>
      <c r="D27" s="12" t="s">
        <v>219</v>
      </c>
    </row>
    <row r="28" spans="1:4">
      <c r="A28" s="13" t="s">
        <v>53</v>
      </c>
      <c r="B28" s="14" t="s">
        <v>196</v>
      </c>
      <c r="C28" s="14" t="s">
        <v>196</v>
      </c>
      <c r="D28" s="14" t="s">
        <v>196</v>
      </c>
    </row>
    <row r="29" spans="1:4">
      <c r="A29" s="13" t="s">
        <v>60</v>
      </c>
      <c r="B29" s="14" t="s">
        <v>196</v>
      </c>
      <c r="C29" s="14" t="s">
        <v>196</v>
      </c>
      <c r="D29" s="14" t="s">
        <v>196</v>
      </c>
    </row>
    <row r="30" spans="1:4">
      <c r="A30" s="13" t="s">
        <v>66</v>
      </c>
      <c r="B30" s="14" t="s">
        <v>196</v>
      </c>
      <c r="C30" s="14" t="s">
        <v>196</v>
      </c>
      <c r="D30" s="14" t="s">
        <v>196</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phucv</cp:lastModifiedBy>
  <dcterms:created xsi:type="dcterms:W3CDTF">2026-05-07T22:28:00Z</dcterms:created>
  <dcterms:modified xsi:type="dcterms:W3CDTF">2026-06-04T10:03:09Z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EA25B8EA7C1547AC903CB44166EFC7A4_12</vt:lpwstr>
  </property>
  <property fmtid="{D5CDD505-2E9C-101B-9397-08002B2CF9AE}" pid="3" name="KSOProductBuildVer">
    <vt:lpwstr>1033-12.1.0.26880</vt:lpwstr>
  </property>
  <property fmtid="{D5CDD505-2E9C-101B-9397-08002B2CF9AE}" pid="4" name="CalculationRule">
    <vt:i4>0</vt:i4>
  </property>
</Properties>
</file>